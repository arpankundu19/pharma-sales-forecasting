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pan\Downloads\"/>
    </mc:Choice>
  </mc:AlternateContent>
  <xr:revisionPtr revIDLastSave="0" documentId="8_{3AE34156-529B-47C2-AEE0-C0D3837281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brand_A" sheetId="3" r:id="rId2"/>
    <sheet name="Brand_B" sheetId="5" r:id="rId3"/>
    <sheet name="Sheet5" sheetId="6" r:id="rId4"/>
  </sheets>
  <definedNames>
    <definedName name="_xlnm._FilterDatabase" localSheetId="0" hidden="1">Raw_Data!$A$1:$D$13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6" l="1"/>
  <c r="C23" i="6"/>
  <c r="C24" i="6"/>
  <c r="C25" i="6"/>
  <c r="C26" i="6"/>
  <c r="C27" i="6"/>
  <c r="C28" i="6"/>
  <c r="C29" i="6"/>
  <c r="C30" i="6"/>
  <c r="C31" i="6"/>
  <c r="C22" i="5"/>
  <c r="C23" i="5"/>
  <c r="C24" i="5"/>
  <c r="C25" i="5"/>
  <c r="C26" i="5"/>
  <c r="C27" i="5"/>
  <c r="C28" i="5"/>
  <c r="C29" i="5"/>
  <c r="C30" i="5"/>
  <c r="C31" i="5"/>
  <c r="C32" i="5"/>
  <c r="C21" i="3"/>
  <c r="D21" i="3"/>
  <c r="E21" i="3"/>
  <c r="C22" i="3"/>
  <c r="D22" i="3"/>
  <c r="E22" i="3"/>
  <c r="C23" i="3"/>
  <c r="D23" i="3"/>
  <c r="E23" i="3"/>
  <c r="C24" i="3"/>
  <c r="D24" i="3"/>
  <c r="E24" i="3"/>
  <c r="C25" i="3"/>
  <c r="D25" i="3"/>
  <c r="E25" i="3"/>
  <c r="C26" i="3"/>
  <c r="D26" i="3"/>
  <c r="E26" i="3"/>
  <c r="D15" i="1"/>
  <c r="D16" i="1"/>
  <c r="C15" i="1"/>
  <c r="C16" i="1"/>
  <c r="B15" i="1"/>
  <c r="C14" i="1"/>
  <c r="D14" i="1" s="1"/>
  <c r="B14" i="1"/>
  <c r="D22" i="6" l="1"/>
  <c r="E22" i="6"/>
  <c r="E23" i="6"/>
  <c r="D23" i="6"/>
  <c r="E24" i="6"/>
  <c r="D24" i="6"/>
  <c r="E25" i="6"/>
  <c r="D25" i="6"/>
  <c r="E26" i="6"/>
  <c r="D26" i="6"/>
  <c r="E27" i="6"/>
  <c r="D27" i="6"/>
  <c r="D28" i="6"/>
  <c r="E28" i="6"/>
  <c r="D29" i="6"/>
  <c r="E29" i="6"/>
  <c r="D30" i="6"/>
  <c r="E30" i="6"/>
  <c r="D31" i="6"/>
  <c r="E31" i="6"/>
  <c r="D22" i="5"/>
  <c r="E22" i="5"/>
  <c r="D23" i="5"/>
  <c r="E23" i="5"/>
  <c r="E24" i="5"/>
  <c r="D24" i="5"/>
  <c r="D25" i="5"/>
  <c r="E25" i="5"/>
  <c r="D26" i="5"/>
  <c r="E26" i="5"/>
  <c r="D27" i="5"/>
  <c r="E27" i="5"/>
  <c r="D28" i="5"/>
  <c r="E28" i="5"/>
  <c r="D29" i="5"/>
  <c r="E29" i="5"/>
  <c r="D30" i="5"/>
  <c r="E30" i="5"/>
  <c r="D31" i="5"/>
  <c r="E31" i="5"/>
  <c r="D32" i="5"/>
  <c r="E32" i="5"/>
  <c r="D17" i="1"/>
  <c r="C17" i="1"/>
  <c r="C18" i="1"/>
  <c r="B16" i="1"/>
  <c r="B17" i="1"/>
  <c r="B18" i="1"/>
  <c r="B19" i="1"/>
  <c r="D18" i="1" l="1"/>
  <c r="D20" i="1" s="1"/>
  <c r="D19" i="1"/>
  <c r="C19" i="1"/>
  <c r="C21" i="1" s="1"/>
  <c r="C20" i="1"/>
  <c r="B20" i="1"/>
  <c r="B21" i="1" s="1"/>
  <c r="D21" i="1" l="1"/>
</calcChain>
</file>

<file path=xl/sharedStrings.xml><?xml version="1.0" encoding="utf-8"?>
<sst xmlns="http://schemas.openxmlformats.org/spreadsheetml/2006/main" count="19" uniqueCount="13">
  <si>
    <t>Month</t>
  </si>
  <si>
    <t>Brand_A</t>
  </si>
  <si>
    <t>Brand_B</t>
  </si>
  <si>
    <t>Brand_C</t>
  </si>
  <si>
    <t>Forecast(Brand_A)</t>
  </si>
  <si>
    <t>Lower Confidence Bound(Brand_A)</t>
  </si>
  <si>
    <t>Upper Confidence Bound(Brand_A)</t>
  </si>
  <si>
    <t>Forecast(Brand_B)</t>
  </si>
  <si>
    <t>Lower Confidence Bound(Brand_B)</t>
  </si>
  <si>
    <t>Upper Confidence Bound(Brand_B)</t>
  </si>
  <si>
    <t>Forecast(Brand_C)</t>
  </si>
  <si>
    <t>Lower Confidence Bound(Brand_C)</t>
  </si>
  <si>
    <t>Upper Confidence Bound(Brand_C)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</si>
</sst>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BRAND_A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0"/>
            <c:trendlineLbl>
              <c:layout>
                <c:manualLayout>
                  <c:x val="0.18278102738664478"/>
                  <c:y val="-0.249674048297617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forward val="5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7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Raw_Data!$A$2:$A$21</c:f>
              <c:numCache>
                <c:formatCode>m/d/yyyy</c:formatCode>
                <c:ptCount val="2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</c:numCache>
            </c:numRef>
          </c:cat>
          <c:val>
            <c:numRef>
              <c:f>Raw_Data!$B$2:$B$21</c:f>
              <c:numCache>
                <c:formatCode>General</c:formatCode>
                <c:ptCount val="20"/>
                <c:pt idx="0">
                  <c:v>800</c:v>
                </c:pt>
                <c:pt idx="1">
                  <c:v>840</c:v>
                </c:pt>
                <c:pt idx="2">
                  <c:v>900</c:v>
                </c:pt>
                <c:pt idx="3">
                  <c:v>880</c:v>
                </c:pt>
                <c:pt idx="4">
                  <c:v>950</c:v>
                </c:pt>
                <c:pt idx="5">
                  <c:v>1000</c:v>
                </c:pt>
                <c:pt idx="6">
                  <c:v>980</c:v>
                </c:pt>
                <c:pt idx="7">
                  <c:v>1050</c:v>
                </c:pt>
                <c:pt idx="8">
                  <c:v>1100</c:v>
                </c:pt>
                <c:pt idx="9">
                  <c:v>1080</c:v>
                </c:pt>
                <c:pt idx="10">
                  <c:v>1160</c:v>
                </c:pt>
                <c:pt idx="11">
                  <c:v>1220</c:v>
                </c:pt>
                <c:pt idx="12" formatCode="0">
                  <c:v>1228.0307461340562</c:v>
                </c:pt>
                <c:pt idx="13" formatCode="0">
                  <c:v>1263.6128204207562</c:v>
                </c:pt>
                <c:pt idx="14" formatCode="0">
                  <c:v>1296.2249352430663</c:v>
                </c:pt>
                <c:pt idx="15" formatCode="0">
                  <c:v>1338.1711607651014</c:v>
                </c:pt>
                <c:pt idx="16" formatCode="0">
                  <c:v>1370.3696619689872</c:v>
                </c:pt>
                <c:pt idx="17" formatCode="0">
                  <c:v>1408.7489002445363</c:v>
                </c:pt>
                <c:pt idx="18" formatCode="0">
                  <c:v>1449.8583917341748</c:v>
                </c:pt>
                <c:pt idx="19" formatCode="0">
                  <c:v>1483.2830408915179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AB-44C1-8CB5-57D9139CF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100736"/>
        <c:axId val="1930812496"/>
      </c:lineChart>
      <c:dateAx>
        <c:axId val="21271007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12496"/>
        <c:crosses val="autoZero"/>
        <c:auto val="1"/>
        <c:lblOffset val="100"/>
        <c:baseTimeUnit val="months"/>
      </c:dateAx>
      <c:valAx>
        <c:axId val="193081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10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BRAND</a:t>
            </a:r>
            <a:r>
              <a:rPr lang="en-IN" baseline="0"/>
              <a:t>_A</a:t>
            </a:r>
          </a:p>
          <a:p>
            <a:pPr>
              <a:defRPr/>
            </a:pPr>
            <a:endParaRPr lang="en-IN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22935719991523E-2"/>
          <c:y val="0.11678745727075893"/>
          <c:w val="0.92697451948941167"/>
          <c:h val="0.63976227109542338"/>
        </c:manualLayout>
      </c:layout>
      <c:lineChart>
        <c:grouping val="standard"/>
        <c:varyColors val="0"/>
        <c:ser>
          <c:idx val="0"/>
          <c:order val="0"/>
          <c:tx>
            <c:strRef>
              <c:f>brand_A!$B$1</c:f>
              <c:strCache>
                <c:ptCount val="1"/>
                <c:pt idx="0">
                  <c:v>Brand_A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brand_A!$B$2:$B$26</c:f>
              <c:numCache>
                <c:formatCode>General</c:formatCode>
                <c:ptCount val="25"/>
                <c:pt idx="0">
                  <c:v>800</c:v>
                </c:pt>
                <c:pt idx="1">
                  <c:v>840</c:v>
                </c:pt>
                <c:pt idx="2">
                  <c:v>900</c:v>
                </c:pt>
                <c:pt idx="3">
                  <c:v>880</c:v>
                </c:pt>
                <c:pt idx="4">
                  <c:v>950</c:v>
                </c:pt>
                <c:pt idx="5">
                  <c:v>1000</c:v>
                </c:pt>
                <c:pt idx="6">
                  <c:v>980</c:v>
                </c:pt>
                <c:pt idx="7">
                  <c:v>1050</c:v>
                </c:pt>
                <c:pt idx="8">
                  <c:v>1100</c:v>
                </c:pt>
                <c:pt idx="9">
                  <c:v>1080</c:v>
                </c:pt>
                <c:pt idx="10">
                  <c:v>1160</c:v>
                </c:pt>
                <c:pt idx="11">
                  <c:v>1220</c:v>
                </c:pt>
                <c:pt idx="12" formatCode="0">
                  <c:v>1228.0307461340562</c:v>
                </c:pt>
                <c:pt idx="13" formatCode="0">
                  <c:v>1263.6128204207562</c:v>
                </c:pt>
                <c:pt idx="14" formatCode="0">
                  <c:v>1299.19489470746</c:v>
                </c:pt>
                <c:pt idx="15" formatCode="0">
                  <c:v>1334.7769689941599</c:v>
                </c:pt>
                <c:pt idx="16" formatCode="0">
                  <c:v>1370.3590432808601</c:v>
                </c:pt>
                <c:pt idx="17" formatCode="0">
                  <c:v>1405.94111756756</c:v>
                </c:pt>
                <c:pt idx="18" formatCode="0">
                  <c:v>1449.8583917341748</c:v>
                </c:pt>
                <c:pt idx="19" formatCode="0">
                  <c:v>1483.2830408915179</c:v>
                </c:pt>
                <c:pt idx="20" formatCode="0">
                  <c:v>1516.7076900488601</c:v>
                </c:pt>
                <c:pt idx="21" formatCode="0">
                  <c:v>1550.1323392062</c:v>
                </c:pt>
                <c:pt idx="22" formatCode="0">
                  <c:v>1583.5569883635501</c:v>
                </c:pt>
                <c:pt idx="23" formatCode="0">
                  <c:v>1616.98163752089</c:v>
                </c:pt>
                <c:pt idx="24" formatCode="0">
                  <c:v>1650.4062866782299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12-44B6-B588-D467D0F4E234}"/>
            </c:ext>
          </c:extLst>
        </c:ser>
        <c:ser>
          <c:idx val="1"/>
          <c:order val="1"/>
          <c:tx>
            <c:strRef>
              <c:f>brand_A!$C$1</c:f>
              <c:strCache>
                <c:ptCount val="1"/>
                <c:pt idx="0">
                  <c:v>Forecast(Brand_A)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brand_A!$A$2:$A$26</c:f>
              <c:numCache>
                <c:formatCode>General</c:formatCode>
                <c:ptCount val="2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46376</c:v>
                </c:pt>
              </c:numCache>
            </c:numRef>
          </c:cat>
          <c:val>
            <c:numRef>
              <c:f>brand_A!$C$2:$C$26</c:f>
              <c:numCache>
                <c:formatCode>General</c:formatCode>
                <c:ptCount val="25"/>
                <c:pt idx="18">
                  <c:v>1449.8583917341748</c:v>
                </c:pt>
                <c:pt idx="19">
                  <c:v>1478.161037534064</c:v>
                </c:pt>
                <c:pt idx="20">
                  <c:v>1513.8565878094305</c:v>
                </c:pt>
                <c:pt idx="21">
                  <c:v>1549.552138084797</c:v>
                </c:pt>
                <c:pt idx="22">
                  <c:v>1585.2476883601635</c:v>
                </c:pt>
                <c:pt idx="23">
                  <c:v>1620.94323863553</c:v>
                </c:pt>
                <c:pt idx="24">
                  <c:v>1642.8211565462384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12-44B6-B588-D467D0F4E234}"/>
            </c:ext>
          </c:extLst>
        </c:ser>
        <c:ser>
          <c:idx val="2"/>
          <c:order val="2"/>
          <c:tx>
            <c:strRef>
              <c:f>brand_A!$D$1</c:f>
              <c:strCache>
                <c:ptCount val="1"/>
                <c:pt idx="0">
                  <c:v>Lower Confidence Bound(Brand_A)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brand_A!$A$2:$A$26</c:f>
              <c:numCache>
                <c:formatCode>General</c:formatCode>
                <c:ptCount val="2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46376</c:v>
                </c:pt>
              </c:numCache>
            </c:numRef>
          </c:cat>
          <c:val>
            <c:numRef>
              <c:f>brand_A!$D$2:$D$26</c:f>
              <c:numCache>
                <c:formatCode>General</c:formatCode>
                <c:ptCount val="25"/>
                <c:pt idx="18" formatCode="0.00">
                  <c:v>1449.8583917341748</c:v>
                </c:pt>
                <c:pt idx="19" formatCode="0.00">
                  <c:v>1454.3393901047355</c:v>
                </c:pt>
                <c:pt idx="20" formatCode="0.00">
                  <c:v>1490.0348331829298</c:v>
                </c:pt>
                <c:pt idx="21" formatCode="0.00">
                  <c:v>1525.7301928867366</c:v>
                </c:pt>
                <c:pt idx="22" formatCode="0.00">
                  <c:v>1561.4254453970932</c:v>
                </c:pt>
                <c:pt idx="23" formatCode="0.00">
                  <c:v>1597.1205668973842</c:v>
                </c:pt>
                <c:pt idx="24" formatCode="0.00">
                  <c:v>1618.9981271172269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12-44B6-B588-D467D0F4E234}"/>
            </c:ext>
          </c:extLst>
        </c:ser>
        <c:ser>
          <c:idx val="3"/>
          <c:order val="3"/>
          <c:tx>
            <c:strRef>
              <c:f>brand_A!$E$1</c:f>
              <c:strCache>
                <c:ptCount val="1"/>
                <c:pt idx="0">
                  <c:v>Upper Confidence Bound(Brand_A)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brand_A!$A$2:$A$26</c:f>
              <c:numCache>
                <c:formatCode>General</c:formatCode>
                <c:ptCount val="2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46376</c:v>
                </c:pt>
              </c:numCache>
            </c:numRef>
          </c:cat>
          <c:val>
            <c:numRef>
              <c:f>brand_A!$E$2:$E$26</c:f>
              <c:numCache>
                <c:formatCode>General</c:formatCode>
                <c:ptCount val="25"/>
                <c:pt idx="18" formatCode="0.00">
                  <c:v>1449.8583917341748</c:v>
                </c:pt>
                <c:pt idx="19" formatCode="0.00">
                  <c:v>1501.9826849633926</c:v>
                </c:pt>
                <c:pt idx="20" formatCode="0.00">
                  <c:v>1537.6783424359312</c:v>
                </c:pt>
                <c:pt idx="21" formatCode="0.00">
                  <c:v>1573.3740832828573</c:v>
                </c:pt>
                <c:pt idx="22" formatCode="0.00">
                  <c:v>1609.0699313232337</c:v>
                </c:pt>
                <c:pt idx="23" formatCode="0.00">
                  <c:v>1644.7659103736758</c:v>
                </c:pt>
                <c:pt idx="24" formatCode="0.00">
                  <c:v>1666.6441859752499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12-44B6-B588-D467D0F4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339664"/>
        <c:axId val="1930769296"/>
      </c:lineChart>
      <c:catAx>
        <c:axId val="141933966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69296"/>
        <c:crosses val="autoZero"/>
        <c:auto val="1"/>
        <c:lblAlgn val="ctr"/>
        <c:lblOffset val="100"/>
        <c:noMultiLvlLbl val="0"/>
      </c:catAx>
      <c:valAx>
        <c:axId val="193076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33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17324464876674E-2"/>
          <c:y val="5.3653675350381867E-2"/>
          <c:w val="0.92697451948941167"/>
          <c:h val="0.75765211166785973"/>
        </c:manualLayout>
      </c:layout>
      <c:lineChart>
        <c:grouping val="standard"/>
        <c:varyColors val="0"/>
        <c:ser>
          <c:idx val="0"/>
          <c:order val="0"/>
          <c:tx>
            <c:strRef>
              <c:f>Brand_B!$B$1</c:f>
              <c:strCache>
                <c:ptCount val="1"/>
                <c:pt idx="0">
                  <c:v>Brand_B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Brand_B!$B$2:$B$32</c:f>
              <c:numCache>
                <c:formatCode>General</c:formatCode>
                <c:ptCount val="31"/>
                <c:pt idx="0">
                  <c:v>1200</c:v>
                </c:pt>
                <c:pt idx="1">
                  <c:v>1180</c:v>
                </c:pt>
                <c:pt idx="2">
                  <c:v>1250</c:v>
                </c:pt>
                <c:pt idx="3">
                  <c:v>1300</c:v>
                </c:pt>
                <c:pt idx="4">
                  <c:v>1280</c:v>
                </c:pt>
                <c:pt idx="5">
                  <c:v>1350</c:v>
                </c:pt>
                <c:pt idx="6">
                  <c:v>1400</c:v>
                </c:pt>
                <c:pt idx="7">
                  <c:v>1380</c:v>
                </c:pt>
                <c:pt idx="8">
                  <c:v>1450</c:v>
                </c:pt>
                <c:pt idx="9">
                  <c:v>1500</c:v>
                </c:pt>
                <c:pt idx="10">
                  <c:v>1480</c:v>
                </c:pt>
                <c:pt idx="11">
                  <c:v>1580</c:v>
                </c:pt>
                <c:pt idx="12">
                  <c:v>1575.7121759256934</c:v>
                </c:pt>
                <c:pt idx="13">
                  <c:v>1612.3760681797567</c:v>
                </c:pt>
                <c:pt idx="14">
                  <c:v>1636.9398044990039</c:v>
                </c:pt>
                <c:pt idx="15">
                  <c:v>1670.5375958105496</c:v>
                </c:pt>
                <c:pt idx="16">
                  <c:v>1706.2239556935792</c:v>
                </c:pt>
                <c:pt idx="17">
                  <c:v>1734.0993417605619</c:v>
                </c:pt>
                <c:pt idx="18">
                  <c:v>1765.7434184730587</c:v>
                </c:pt>
                <c:pt idx="19">
                  <c:v>1802.2500768758221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6-4DD1-8379-89981FD6EB8F}"/>
            </c:ext>
          </c:extLst>
        </c:ser>
        <c:ser>
          <c:idx val="1"/>
          <c:order val="1"/>
          <c:tx>
            <c:strRef>
              <c:f>Brand_B!$C$1</c:f>
              <c:strCache>
                <c:ptCount val="1"/>
                <c:pt idx="0">
                  <c:v>Forecast(Brand_B)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Brand_B!$A$2:$A$32</c:f>
              <c:numCache>
                <c:formatCode>General</c:formatCode>
                <c:ptCount val="3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46539</c:v>
                </c:pt>
                <c:pt idx="30">
                  <c:v>46562</c:v>
                </c:pt>
              </c:numCache>
            </c:numRef>
          </c:cat>
          <c:val>
            <c:numRef>
              <c:f>Brand_B!$C$2:$C$32</c:f>
              <c:numCache>
                <c:formatCode>General</c:formatCode>
                <c:ptCount val="31"/>
                <c:pt idx="19">
                  <c:v>1802.2500768758221</c:v>
                </c:pt>
                <c:pt idx="20">
                  <c:v>1846.1399689718623</c:v>
                </c:pt>
                <c:pt idx="21">
                  <c:v>1896.2716156487659</c:v>
                </c:pt>
                <c:pt idx="22">
                  <c:v>1877.5658999257987</c:v>
                </c:pt>
                <c:pt idx="23">
                  <c:v>1945.4601598015058</c:v>
                </c:pt>
                <c:pt idx="24">
                  <c:v>1995.5918064784096</c:v>
                </c:pt>
                <c:pt idx="25">
                  <c:v>1976.8860907554424</c:v>
                </c:pt>
                <c:pt idx="26">
                  <c:v>2044.7803506311493</c:v>
                </c:pt>
                <c:pt idx="27">
                  <c:v>2094.9119973080528</c:v>
                </c:pt>
                <c:pt idx="28">
                  <c:v>2076.2062815850859</c:v>
                </c:pt>
                <c:pt idx="29">
                  <c:v>2144.100541460793</c:v>
                </c:pt>
                <c:pt idx="30">
                  <c:v>2182.5348039130859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46-4DD1-8379-89981FD6EB8F}"/>
            </c:ext>
          </c:extLst>
        </c:ser>
        <c:ser>
          <c:idx val="2"/>
          <c:order val="2"/>
          <c:tx>
            <c:strRef>
              <c:f>Brand_B!$D$1</c:f>
              <c:strCache>
                <c:ptCount val="1"/>
                <c:pt idx="0">
                  <c:v>Lower Confidence Bound(Brand_B)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Brand_B!$A$2:$A$32</c:f>
              <c:numCache>
                <c:formatCode>General</c:formatCode>
                <c:ptCount val="3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46539</c:v>
                </c:pt>
                <c:pt idx="30">
                  <c:v>46562</c:v>
                </c:pt>
              </c:numCache>
            </c:numRef>
          </c:cat>
          <c:val>
            <c:numRef>
              <c:f>Brand_B!$D$2:$D$32</c:f>
              <c:numCache>
                <c:formatCode>General</c:formatCode>
                <c:ptCount val="31"/>
                <c:pt idx="19" formatCode="0.00">
                  <c:v>1802.2500768758221</c:v>
                </c:pt>
                <c:pt idx="20" formatCode="0.00">
                  <c:v>1810.1941393099521</c:v>
                </c:pt>
                <c:pt idx="21" formatCode="0.00">
                  <c:v>1860.0370604003729</c:v>
                </c:pt>
                <c:pt idx="22" formatCode="0.00">
                  <c:v>1841.0403909738966</c:v>
                </c:pt>
                <c:pt idx="23" formatCode="0.00">
                  <c:v>1908.6369424064997</c:v>
                </c:pt>
                <c:pt idx="24" formatCode="0.00">
                  <c:v>1958.4732683277189</c:v>
                </c:pt>
                <c:pt idx="25" formatCode="0.00">
                  <c:v>1939.4700561129848</c:v>
                </c:pt>
                <c:pt idx="26" formatCode="0.00">
                  <c:v>2007.060121940211</c:v>
                </c:pt>
                <c:pt idx="27" formatCode="0.00">
                  <c:v>2056.8900081882321</c:v>
                </c:pt>
                <c:pt idx="28" formatCode="0.00">
                  <c:v>2037.8804071375041</c:v>
                </c:pt>
                <c:pt idx="29" formatCode="0.00">
                  <c:v>2105.4641417429407</c:v>
                </c:pt>
                <c:pt idx="30" formatCode="0.00">
                  <c:v>2143.6620146694499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46-4DD1-8379-89981FD6EB8F}"/>
            </c:ext>
          </c:extLst>
        </c:ser>
        <c:ser>
          <c:idx val="3"/>
          <c:order val="3"/>
          <c:tx>
            <c:strRef>
              <c:f>Brand_B!$E$1</c:f>
              <c:strCache>
                <c:ptCount val="1"/>
                <c:pt idx="0">
                  <c:v>Upper Confidence Bound(Brand_B)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Brand_B!$A$2:$A$32</c:f>
              <c:numCache>
                <c:formatCode>General</c:formatCode>
                <c:ptCount val="3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46539</c:v>
                </c:pt>
                <c:pt idx="30">
                  <c:v>46562</c:v>
                </c:pt>
              </c:numCache>
            </c:numRef>
          </c:cat>
          <c:val>
            <c:numRef>
              <c:f>Brand_B!$E$2:$E$32</c:f>
              <c:numCache>
                <c:formatCode>General</c:formatCode>
                <c:ptCount val="31"/>
                <c:pt idx="19" formatCode="0.00">
                  <c:v>1802.2500768758221</c:v>
                </c:pt>
                <c:pt idx="20" formatCode="0.00">
                  <c:v>1882.0857986337726</c:v>
                </c:pt>
                <c:pt idx="21" formatCode="0.00">
                  <c:v>1932.5061708971589</c:v>
                </c:pt>
                <c:pt idx="22" formatCode="0.00">
                  <c:v>1914.0914088777008</c:v>
                </c:pt>
                <c:pt idx="23" formatCode="0.00">
                  <c:v>1982.283377196512</c:v>
                </c:pt>
                <c:pt idx="24" formatCode="0.00">
                  <c:v>2032.7103446291003</c:v>
                </c:pt>
                <c:pt idx="25" formatCode="0.00">
                  <c:v>2014.3021253979</c:v>
                </c:pt>
                <c:pt idx="26" formatCode="0.00">
                  <c:v>2082.5005793220876</c:v>
                </c:pt>
                <c:pt idx="27" formatCode="0.00">
                  <c:v>2132.9339864278736</c:v>
                </c:pt>
                <c:pt idx="28" formatCode="0.00">
                  <c:v>2114.5321560326674</c:v>
                </c:pt>
                <c:pt idx="29" formatCode="0.00">
                  <c:v>2182.7369411786453</c:v>
                </c:pt>
                <c:pt idx="30" formatCode="0.00">
                  <c:v>2221.4075931567218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46-4DD1-8379-89981FD6E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107696"/>
        <c:axId val="1930731376"/>
      </c:lineChart>
      <c:catAx>
        <c:axId val="201010769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31376"/>
        <c:crosses val="autoZero"/>
        <c:auto val="1"/>
        <c:lblAlgn val="ctr"/>
        <c:lblOffset val="100"/>
        <c:noMultiLvlLbl val="0"/>
      </c:catAx>
      <c:valAx>
        <c:axId val="193073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10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671573661987906E-2"/>
          <c:y val="8.0899087150069118E-2"/>
          <c:w val="0.92697451948941167"/>
          <c:h val="0.75765211166785973"/>
        </c:manualLayout>
      </c:layout>
      <c:lineChart>
        <c:grouping val="standar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Brand_C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Sheet5!$B$2:$B$31</c:f>
              <c:numCache>
                <c:formatCode>General</c:formatCode>
                <c:ptCount val="30"/>
                <c:pt idx="0">
                  <c:v>650</c:v>
                </c:pt>
                <c:pt idx="1">
                  <c:v>680</c:v>
                </c:pt>
                <c:pt idx="2">
                  <c:v>700</c:v>
                </c:pt>
                <c:pt idx="3">
                  <c:v>690</c:v>
                </c:pt>
                <c:pt idx="4">
                  <c:v>730</c:v>
                </c:pt>
                <c:pt idx="5">
                  <c:v>760</c:v>
                </c:pt>
                <c:pt idx="6">
                  <c:v>740</c:v>
                </c:pt>
                <c:pt idx="7">
                  <c:v>790</c:v>
                </c:pt>
                <c:pt idx="8">
                  <c:v>820</c:v>
                </c:pt>
                <c:pt idx="9">
                  <c:v>800</c:v>
                </c:pt>
                <c:pt idx="10">
                  <c:v>850</c:v>
                </c:pt>
                <c:pt idx="11">
                  <c:v>900</c:v>
                </c:pt>
                <c:pt idx="12">
                  <c:v>879.7450224943035</c:v>
                </c:pt>
                <c:pt idx="13">
                  <c:v>897.85299870964093</c:v>
                </c:pt>
                <c:pt idx="14">
                  <c:v>915.52767334618829</c:v>
                </c:pt>
                <c:pt idx="15">
                  <c:v>936.12724369320108</c:v>
                </c:pt>
                <c:pt idx="16">
                  <c:v>952.24071533809979</c:v>
                </c:pt>
                <c:pt idx="17">
                  <c:v>970.57388569194109</c:v>
                </c:pt>
                <c:pt idx="18">
                  <c:v>990.22579909127717</c:v>
                </c:pt>
                <c:pt idx="19">
                  <c:v>1004.9631321986842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D7-4B32-9305-14C5C34B06D2}"/>
            </c:ext>
          </c:extLst>
        </c:ser>
        <c:ser>
          <c:idx val="1"/>
          <c:order val="1"/>
          <c:tx>
            <c:strRef>
              <c:f>Sheet5!$C$1</c:f>
              <c:strCache>
                <c:ptCount val="1"/>
                <c:pt idx="0">
                  <c:v>Forecast(Brand_C)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Sheet5!$A$2:$A$31</c:f>
              <c:numCache>
                <c:formatCode>General</c:formatCode>
                <c:ptCount val="3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46531</c:v>
                </c:pt>
              </c:numCache>
            </c:numRef>
          </c:cat>
          <c:val>
            <c:numRef>
              <c:f>Sheet5!$C$2:$C$31</c:f>
              <c:numCache>
                <c:formatCode>General</c:formatCode>
                <c:ptCount val="30"/>
                <c:pt idx="19">
                  <c:v>1004.9631321986842</c:v>
                </c:pt>
                <c:pt idx="20">
                  <c:v>1026.9211266626014</c:v>
                </c:pt>
                <c:pt idx="21">
                  <c:v>1045.7954332018192</c:v>
                </c:pt>
                <c:pt idx="22">
                  <c:v>1064.6697397410371</c:v>
                </c:pt>
                <c:pt idx="23">
                  <c:v>1083.5440462802549</c:v>
                </c:pt>
                <c:pt idx="24">
                  <c:v>1102.4183528194726</c:v>
                </c:pt>
                <c:pt idx="25">
                  <c:v>1121.2926593586906</c:v>
                </c:pt>
                <c:pt idx="26">
                  <c:v>1140.1669658979083</c:v>
                </c:pt>
                <c:pt idx="27">
                  <c:v>1159.0412724371263</c:v>
                </c:pt>
                <c:pt idx="28">
                  <c:v>1177.915578976344</c:v>
                </c:pt>
                <c:pt idx="29">
                  <c:v>1191.9190967312475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D7-4B32-9305-14C5C34B06D2}"/>
            </c:ext>
          </c:extLst>
        </c:ser>
        <c:ser>
          <c:idx val="2"/>
          <c:order val="2"/>
          <c:tx>
            <c:strRef>
              <c:f>Sheet5!$D$1</c:f>
              <c:strCache>
                <c:ptCount val="1"/>
                <c:pt idx="0">
                  <c:v>Lower Confidence Bound(Brand_C)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Sheet5!$A$2:$A$31</c:f>
              <c:numCache>
                <c:formatCode>General</c:formatCode>
                <c:ptCount val="3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46531</c:v>
                </c:pt>
              </c:numCache>
            </c:numRef>
          </c:cat>
          <c:val>
            <c:numRef>
              <c:f>Sheet5!$D$2:$D$31</c:f>
              <c:numCache>
                <c:formatCode>General</c:formatCode>
                <c:ptCount val="30"/>
                <c:pt idx="19" formatCode="0.00">
                  <c:v>1004.9631321986842</c:v>
                </c:pt>
                <c:pt idx="20" formatCode="0.00">
                  <c:v>970.39457962441293</c:v>
                </c:pt>
                <c:pt idx="21" formatCode="0.00">
                  <c:v>989.2686317947414</c:v>
                </c:pt>
                <c:pt idx="22" formatCode="0.00">
                  <c:v>1008.1424861254268</c:v>
                </c:pt>
                <c:pt idx="23" formatCode="0.00">
                  <c:v>1027.0160860960546</c:v>
                </c:pt>
                <c:pt idx="24" formatCode="0.00">
                  <c:v>1045.8893751920182</c:v>
                </c:pt>
                <c:pt idx="25" formatCode="0.00">
                  <c:v>1064.7622969073429</c:v>
                </c:pt>
                <c:pt idx="26" formatCode="0.00">
                  <c:v>1083.6347947480751</c:v>
                </c:pt>
                <c:pt idx="27" formatCode="0.00">
                  <c:v>1102.5068122362352</c:v>
                </c:pt>
                <c:pt idx="28" formatCode="0.00">
                  <c:v>1121.3782929143288</c:v>
                </c:pt>
                <c:pt idx="29" formatCode="0.00">
                  <c:v>1135.3792738955083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D7-4B32-9305-14C5C34B06D2}"/>
            </c:ext>
          </c:extLst>
        </c:ser>
        <c:ser>
          <c:idx val="3"/>
          <c:order val="3"/>
          <c:tx>
            <c:strRef>
              <c:f>Sheet5!$E$1</c:f>
              <c:strCache>
                <c:ptCount val="1"/>
                <c:pt idx="0">
                  <c:v>Upper Confidence Bound(Brand_C)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Sheet5!$A$2:$A$31</c:f>
              <c:numCache>
                <c:formatCode>General</c:formatCode>
                <c:ptCount val="3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46531</c:v>
                </c:pt>
              </c:numCache>
            </c:numRef>
          </c:cat>
          <c:val>
            <c:numRef>
              <c:f>Sheet5!$E$2:$E$31</c:f>
              <c:numCache>
                <c:formatCode>General</c:formatCode>
                <c:ptCount val="30"/>
                <c:pt idx="19" formatCode="0.00">
                  <c:v>1004.9631321986842</c:v>
                </c:pt>
                <c:pt idx="20" formatCode="0.00">
                  <c:v>1083.4476737007899</c:v>
                </c:pt>
                <c:pt idx="21" formatCode="0.00">
                  <c:v>1102.3222346088969</c:v>
                </c:pt>
                <c:pt idx="22" formatCode="0.00">
                  <c:v>1121.1969933566475</c:v>
                </c:pt>
                <c:pt idx="23" formatCode="0.00">
                  <c:v>1140.0720064644552</c:v>
                </c:pt>
                <c:pt idx="24" formatCode="0.00">
                  <c:v>1158.947330446927</c:v>
                </c:pt>
                <c:pt idx="25" formatCode="0.00">
                  <c:v>1177.8230218100382</c:v>
                </c:pt>
                <c:pt idx="26" formatCode="0.00">
                  <c:v>1196.6991370477415</c:v>
                </c:pt>
                <c:pt idx="27" formatCode="0.00">
                  <c:v>1215.5757326380174</c:v>
                </c:pt>
                <c:pt idx="28" formatCode="0.00">
                  <c:v>1234.4528650383593</c:v>
                </c:pt>
                <c:pt idx="29" formatCode="0.00">
                  <c:v>1248.4589195669867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D7-4B32-9305-14C5C34B0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101200"/>
        <c:axId val="1930729936"/>
      </c:lineChart>
      <c:catAx>
        <c:axId val="201010120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29936"/>
        <c:crosses val="autoZero"/>
        <c:auto val="1"/>
        <c:lblAlgn val="ctr"/>
        <c:lblOffset val="100"/>
        <c:noMultiLvlLbl val="0"/>
      </c:catAx>
      <c:valAx>
        <c:axId val="193072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10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352096</xdr:colOff>
      <xdr:row>4</xdr:row>
      <xdr:rowOff>73573</xdr:rowOff>
    </xdr:from>
    <xdr:to>
      <xdr:col>11</xdr:col>
      <xdr:colOff>73571</xdr:colOff>
      <xdr:row>19</xdr:row>
      <xdr:rowOff>84082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A4CF96-6C9D-6312-DD4D-769D586A9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1</xdr:row>
      <xdr:rowOff>125730</xdr:rowOff>
    </xdr:from>
    <xdr:to>
      <xdr:col>16</xdr:col>
      <xdr:colOff>22860</xdr:colOff>
      <xdr:row>25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97B6FA-0898-F7D3-1388-B02BF4ADE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1242060</xdr:colOff>
      <xdr:row>1</xdr:row>
      <xdr:rowOff>114300</xdr:rowOff>
    </xdr:from>
    <xdr:to>
      <xdr:col>15</xdr:col>
      <xdr:colOff>581025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8FA0A-BA12-29DA-BD49-52C7321FF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739140</xdr:colOff>
      <xdr:row>1</xdr:row>
      <xdr:rowOff>175260</xdr:rowOff>
    </xdr:from>
    <xdr:to>
      <xdr:col>15</xdr:col>
      <xdr:colOff>78105</xdr:colOff>
      <xdr:row>24</xdr:row>
      <xdr:rowOff>74295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2FD768-6669-DB69-CDCE-320563D83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0D7D6-015B-41D4-A1A3-C3C2E01AA3F9}" name="Table1" displayName="Table1" ref="A1:E26" totalsRowShown="0">
  <autoFilter ref="A1:E26" xr:uid="{8F00D7D6-015B-41D4-A1A3-C3C2E01AA3F9}"/>
  <tableColumns count="5">
    <tableColumn id="1" xr3:uid="{6839511D-F343-41BF-8292-BE9B58D11FF3}" name="Month"/>
    <tableColumn id="2" xr3:uid="{134DD5ED-57B8-420D-9D5B-8B28F7BD00F2}" name="Brand_A"/>
    <tableColumn id="3" xr3:uid="{D7DEEDB6-558D-4BD8-AE7F-5EB3559ECA51}" name="Forecast(Brand_A)">
      <calculatedColumnFormula>_xlfn.FORECAST.ETS(A2,$B$2:$B$20,$A$2:$A$20,1,1)</calculatedColumnFormula>
    </tableColumn>
    <tableColumn id="4" xr3:uid="{6C997395-85C8-405C-88EB-DD8D42FCAB0F}" name="Lower Confidence Bound(Brand_A)" dataDxfId="5">
      <calculatedColumnFormula>C2-_xlfn.FORECAST.ETS.CONFINT(A2,$B$2:$B$20,$A$2:$A$20,0.82,1,1)</calculatedColumnFormula>
    </tableColumn>
    <tableColumn id="5" xr3:uid="{19A902AE-2F48-4D8C-8B03-5965F3E2AD3B}" name="Upper Confidence Bound(Brand_A)" dataDxfId="4">
      <calculatedColumnFormula>C2+_xlfn.FORECAST.ETS.CONFINT(A2,$B$2:$B$20,$A$2:$A$20,0.82,1,1)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433B5D-E3B5-47C4-ABA2-758F118FEB81}" name="Table2" displayName="Table2" ref="A1:E32" totalsRowShown="0">
  <autoFilter ref="A1:E32" xr:uid="{B2433B5D-E3B5-47C4-ABA2-758F118FEB81}"/>
  <tableColumns count="5">
    <tableColumn id="1" xr3:uid="{4D9523F5-3549-4D67-9FF3-316A64A9C596}" name="Month"/>
    <tableColumn id="2" xr3:uid="{6CBE47BD-95C0-44F3-BD39-D1397B19B153}" name="Brand_B"/>
    <tableColumn id="3" xr3:uid="{2FEBA205-CBC1-4331-8963-5B743B8005EE}" name="Forecast(Brand_B)">
      <calculatedColumnFormula>_xlfn.FORECAST.ETS(A2,$B$2:$B$21,$A$2:$A$21,1,1)</calculatedColumnFormula>
    </tableColumn>
    <tableColumn id="4" xr3:uid="{174EC9F5-8029-46D3-BD5B-594BCED85297}" name="Lower Confidence Bound(Brand_B)" dataDxfId="3">
      <calculatedColumnFormula>C2-_xlfn.FORECAST.ETS.CONFINT(A2,$B$2:$B$21,$A$2:$A$21,0.95,1,1)</calculatedColumnFormula>
    </tableColumn>
    <tableColumn id="5" xr3:uid="{1327D6CE-A7F4-41F8-95F0-40569386EE95}" name="Upper Confidence Bound(Brand_B)" dataDxfId="2">
      <calculatedColumnFormula>C2+_xlfn.FORECAST.ETS.CONFINT(A2,$B$2:$B$21,$A$2:$A$21,0.95,1,1)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679723-1790-488D-9F65-01FD4387204B}" name="Table3" displayName="Table3" ref="A1:E31" totalsRowShown="0">
  <autoFilter ref="A1:E31" xr:uid="{6B679723-1790-488D-9F65-01FD4387204B}"/>
  <tableColumns count="5">
    <tableColumn id="1" xr3:uid="{0AE6ADB3-B304-406C-8E8D-DA128CB4F257}" name="Month"/>
    <tableColumn id="2" xr3:uid="{05799764-DC3D-45A3-BC88-4071F8884142}" name="Brand_C"/>
    <tableColumn id="3" xr3:uid="{1DFA219F-B391-4B1B-AE7D-C4A144437017}" name="Forecast(Brand_C)">
      <calculatedColumnFormula>_xlfn.FORECAST.ETS(A2,$B$2:$B$21,$A$2:$A$21,1,1)</calculatedColumnFormula>
    </tableColumn>
    <tableColumn id="4" xr3:uid="{E4DAA696-C690-423E-93A7-D75C5D79676F}" name="Lower Confidence Bound(Brand_C)" dataDxfId="1">
      <calculatedColumnFormula>C2-_xlfn.FORECAST.ETS.CONFINT(A2,$B$2:$B$21,$A$2:$A$21,0.9999,1,1)</calculatedColumnFormula>
    </tableColumn>
    <tableColumn id="5" xr3:uid="{08B73028-3C28-4F6B-ACD8-29FE4800C54D}" name="Upper Confidence Bound(Brand_C)" dataDxfId="0">
      <calculatedColumnFormula>C2+_xlfn.FORECAST.ETS.CONFINT(A2,$B$2:$B$21,$A$2:$A$21,0.9999,1,1)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145" zoomScaleNormal="145" workbookViewId="0">
      <pane ySplit="1" topLeftCell="A2" activePane="bottomLeft" state="frozen"/>
      <selection pane="bottomLeft" activeCell="B14" sqref="B14:B21"/>
    </sheetView>
  </sheetViews>
  <sheetFormatPr defaultRowHeight="14.4" x14ac:dyDescent="0.3"/>
  <cols>
    <col min="1" max="1" width="16" customWidth="1"/>
    <col min="2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45658</v>
      </c>
      <c r="B2">
        <v>800</v>
      </c>
      <c r="C2">
        <v>1200</v>
      </c>
      <c r="D2">
        <v>650</v>
      </c>
    </row>
    <row r="3" spans="1:4" x14ac:dyDescent="0.3">
      <c r="A3" s="2">
        <v>45689</v>
      </c>
      <c r="B3">
        <v>840</v>
      </c>
      <c r="C3">
        <v>1180</v>
      </c>
      <c r="D3">
        <v>680</v>
      </c>
    </row>
    <row r="4" spans="1:4" x14ac:dyDescent="0.3">
      <c r="A4" s="2">
        <v>45717</v>
      </c>
      <c r="B4">
        <v>900</v>
      </c>
      <c r="C4">
        <v>1250</v>
      </c>
      <c r="D4">
        <v>700</v>
      </c>
    </row>
    <row r="5" spans="1:4" x14ac:dyDescent="0.3">
      <c r="A5" s="2">
        <v>45748</v>
      </c>
      <c r="B5">
        <v>880</v>
      </c>
      <c r="C5">
        <v>1300</v>
      </c>
      <c r="D5">
        <v>690</v>
      </c>
    </row>
    <row r="6" spans="1:4" x14ac:dyDescent="0.3">
      <c r="A6" s="2">
        <v>45778</v>
      </c>
      <c r="B6">
        <v>950</v>
      </c>
      <c r="C6">
        <v>1280</v>
      </c>
      <c r="D6">
        <v>730</v>
      </c>
    </row>
    <row r="7" spans="1:4" x14ac:dyDescent="0.3">
      <c r="A7" s="2">
        <v>45809</v>
      </c>
      <c r="B7">
        <v>1000</v>
      </c>
      <c r="C7">
        <v>1350</v>
      </c>
      <c r="D7">
        <v>760</v>
      </c>
    </row>
    <row r="8" spans="1:4" x14ac:dyDescent="0.3">
      <c r="A8" s="2">
        <v>45839</v>
      </c>
      <c r="B8">
        <v>980</v>
      </c>
      <c r="C8">
        <v>1400</v>
      </c>
      <c r="D8">
        <v>740</v>
      </c>
    </row>
    <row r="9" spans="1:4" x14ac:dyDescent="0.3">
      <c r="A9" s="2">
        <v>45870</v>
      </c>
      <c r="B9">
        <v>1050</v>
      </c>
      <c r="C9">
        <v>1380</v>
      </c>
      <c r="D9">
        <v>790</v>
      </c>
    </row>
    <row r="10" spans="1:4" x14ac:dyDescent="0.3">
      <c r="A10" s="2">
        <v>45901</v>
      </c>
      <c r="B10">
        <v>1100</v>
      </c>
      <c r="C10">
        <v>1450</v>
      </c>
      <c r="D10">
        <v>820</v>
      </c>
    </row>
    <row r="11" spans="1:4" x14ac:dyDescent="0.3">
      <c r="A11" s="2">
        <v>45931</v>
      </c>
      <c r="B11">
        <v>1080</v>
      </c>
      <c r="C11">
        <v>1500</v>
      </c>
      <c r="D11">
        <v>800</v>
      </c>
    </row>
    <row r="12" spans="1:4" x14ac:dyDescent="0.3">
      <c r="A12" s="2">
        <v>45962</v>
      </c>
      <c r="B12">
        <v>1160</v>
      </c>
      <c r="C12">
        <v>1480</v>
      </c>
      <c r="D12">
        <v>850</v>
      </c>
    </row>
    <row r="13" spans="1:4" x14ac:dyDescent="0.3">
      <c r="A13" s="2">
        <v>45992</v>
      </c>
      <c r="B13">
        <v>1220</v>
      </c>
      <c r="C13">
        <v>1580</v>
      </c>
      <c r="D13">
        <v>900</v>
      </c>
    </row>
    <row r="14" spans="1:4" x14ac:dyDescent="0.3">
      <c r="A14" s="2">
        <v>46023</v>
      </c>
      <c r="B14" s="4">
        <f>FORECAST(A14,B2:B13,A2:A13)</f>
        <v>1228.0307461340562</v>
      </c>
      <c r="C14" s="4">
        <f t="shared" ref="C14:D21" si="0">FORECAST(B14,C2:C13,B2:B13)</f>
        <v>1575.7121759256934</v>
      </c>
      <c r="D14" s="4">
        <f t="shared" si="0"/>
        <v>879.7450224943035</v>
      </c>
    </row>
    <row r="15" spans="1:4" x14ac:dyDescent="0.3">
      <c r="A15" s="2">
        <v>46054</v>
      </c>
      <c r="B15" s="4">
        <f t="shared" ref="B15:B21" si="1">FORECAST(A15,B3:B14,A3:A14)</f>
        <v>1263.6128204207562</v>
      </c>
      <c r="C15" s="4">
        <f t="shared" si="0"/>
        <v>1612.3760681797567</v>
      </c>
      <c r="D15" s="4">
        <f t="shared" si="0"/>
        <v>897.85299870964093</v>
      </c>
    </row>
    <row r="16" spans="1:4" x14ac:dyDescent="0.3">
      <c r="A16" s="2">
        <v>46082</v>
      </c>
      <c r="B16" s="4">
        <f t="shared" si="1"/>
        <v>1296.2249352430663</v>
      </c>
      <c r="C16" s="4">
        <f t="shared" si="0"/>
        <v>1636.9398044990039</v>
      </c>
      <c r="D16" s="4">
        <f t="shared" si="0"/>
        <v>915.52767334618829</v>
      </c>
    </row>
    <row r="17" spans="1:4" x14ac:dyDescent="0.3">
      <c r="A17" s="2">
        <v>46113</v>
      </c>
      <c r="B17" s="4">
        <f t="shared" si="1"/>
        <v>1338.1711607651014</v>
      </c>
      <c r="C17" s="4">
        <f t="shared" si="0"/>
        <v>1670.5375958105496</v>
      </c>
      <c r="D17" s="4">
        <f t="shared" si="0"/>
        <v>936.12724369320108</v>
      </c>
    </row>
    <row r="18" spans="1:4" x14ac:dyDescent="0.3">
      <c r="A18" s="2">
        <v>46143</v>
      </c>
      <c r="B18" s="4">
        <f t="shared" si="1"/>
        <v>1370.3696619689872</v>
      </c>
      <c r="C18" s="4">
        <f t="shared" si="0"/>
        <v>1706.2239556935792</v>
      </c>
      <c r="D18" s="4">
        <f t="shared" si="0"/>
        <v>952.24071533809979</v>
      </c>
    </row>
    <row r="19" spans="1:4" x14ac:dyDescent="0.3">
      <c r="A19" s="2">
        <v>46174</v>
      </c>
      <c r="B19" s="4">
        <f t="shared" si="1"/>
        <v>1408.7489002445363</v>
      </c>
      <c r="C19" s="4">
        <f t="shared" si="0"/>
        <v>1734.0993417605619</v>
      </c>
      <c r="D19" s="4">
        <f t="shared" si="0"/>
        <v>970.57388569194109</v>
      </c>
    </row>
    <row r="20" spans="1:4" x14ac:dyDescent="0.3">
      <c r="A20" s="2">
        <v>46204</v>
      </c>
      <c r="B20" s="4">
        <f t="shared" si="1"/>
        <v>1449.8583917341748</v>
      </c>
      <c r="C20" s="4">
        <f t="shared" si="0"/>
        <v>1765.7434184730587</v>
      </c>
      <c r="D20" s="4">
        <f t="shared" si="0"/>
        <v>990.22579909127717</v>
      </c>
    </row>
    <row r="21" spans="1:4" x14ac:dyDescent="0.3">
      <c r="A21" s="2">
        <v>46235</v>
      </c>
      <c r="B21" s="4">
        <f t="shared" si="1"/>
        <v>1483.2830408915179</v>
      </c>
      <c r="C21" s="4">
        <f t="shared" si="0"/>
        <v>1802.2500768758221</v>
      </c>
      <c r="D21" s="4">
        <f t="shared" si="0"/>
        <v>1004.9631321986842</v>
      </c>
    </row>
  </sheetData>
  <autoFilter ref="A1:D13" xr:uid="{00000000-0009-0000-0000-000000000000}"/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65EF-FC14-488A-92E7-C766423DD4B7}">
  <dimension ref="A1:E26"/>
  <sheetViews>
    <sheetView workbookViewId="0">
      <selection activeCell="Q19" sqref="Q19"/>
    </sheetView>
  </sheetViews>
  <sheetFormatPr defaultRowHeight="14.4" x14ac:dyDescent="0.3"/>
  <cols>
    <col min="2" max="2" width="10.109375" customWidth="1"/>
    <col min="3" max="3" width="18.44140625" customWidth="1"/>
    <col min="4" max="4" width="32.5546875" customWidth="1"/>
    <col min="5" max="5" width="32.6640625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3">
      <c r="A2">
        <v>45658</v>
      </c>
      <c r="B2">
        <v>800</v>
      </c>
    </row>
    <row r="3" spans="1:5" x14ac:dyDescent="0.3">
      <c r="A3">
        <v>45689</v>
      </c>
      <c r="B3">
        <v>840</v>
      </c>
    </row>
    <row r="4" spans="1:5" x14ac:dyDescent="0.3">
      <c r="A4">
        <v>45717</v>
      </c>
      <c r="B4">
        <v>900</v>
      </c>
    </row>
    <row r="5" spans="1:5" x14ac:dyDescent="0.3">
      <c r="A5">
        <v>45748</v>
      </c>
      <c r="B5">
        <v>880</v>
      </c>
    </row>
    <row r="6" spans="1:5" x14ac:dyDescent="0.3">
      <c r="A6">
        <v>45778</v>
      </c>
      <c r="B6">
        <v>950</v>
      </c>
      <c r="C6" s="4"/>
    </row>
    <row r="7" spans="1:5" x14ac:dyDescent="0.3">
      <c r="A7">
        <v>45809</v>
      </c>
      <c r="B7">
        <v>1000</v>
      </c>
      <c r="C7" s="4"/>
    </row>
    <row r="8" spans="1:5" x14ac:dyDescent="0.3">
      <c r="A8">
        <v>45839</v>
      </c>
      <c r="B8">
        <v>980</v>
      </c>
      <c r="C8" s="4"/>
    </row>
    <row r="9" spans="1:5" x14ac:dyDescent="0.3">
      <c r="A9">
        <v>45870</v>
      </c>
      <c r="B9">
        <v>1050</v>
      </c>
      <c r="C9" s="4"/>
    </row>
    <row r="10" spans="1:5" x14ac:dyDescent="0.3">
      <c r="A10">
        <v>45901</v>
      </c>
      <c r="B10">
        <v>1100</v>
      </c>
      <c r="C10" s="4"/>
    </row>
    <row r="11" spans="1:5" x14ac:dyDescent="0.3">
      <c r="A11">
        <v>45931</v>
      </c>
      <c r="B11">
        <v>1080</v>
      </c>
      <c r="C11" s="4"/>
    </row>
    <row r="12" spans="1:5" x14ac:dyDescent="0.3">
      <c r="A12">
        <v>45962</v>
      </c>
      <c r="B12">
        <v>1160</v>
      </c>
      <c r="C12" s="4"/>
    </row>
    <row r="13" spans="1:5" x14ac:dyDescent="0.3">
      <c r="A13">
        <v>45992</v>
      </c>
      <c r="B13">
        <v>1220</v>
      </c>
      <c r="C13" s="4"/>
    </row>
    <row r="14" spans="1:5" x14ac:dyDescent="0.3">
      <c r="A14">
        <v>46023</v>
      </c>
      <c r="B14" s="4">
        <v>1228.0307461340562</v>
      </c>
    </row>
    <row r="15" spans="1:5" x14ac:dyDescent="0.3">
      <c r="A15">
        <v>46054</v>
      </c>
      <c r="B15" s="4">
        <v>1263.6128204207562</v>
      </c>
    </row>
    <row r="16" spans="1:5" x14ac:dyDescent="0.3">
      <c r="A16">
        <v>46082</v>
      </c>
      <c r="B16" s="4">
        <v>1299.19489470746</v>
      </c>
    </row>
    <row r="17" spans="1:5" x14ac:dyDescent="0.3">
      <c r="A17">
        <v>46113</v>
      </c>
      <c r="B17" s="4">
        <v>1334.7769689941599</v>
      </c>
    </row>
    <row r="18" spans="1:5" x14ac:dyDescent="0.3">
      <c r="A18">
        <v>46143</v>
      </c>
      <c r="B18" s="4">
        <v>1370.3590432808601</v>
      </c>
    </row>
    <row r="19" spans="1:5" x14ac:dyDescent="0.3">
      <c r="A19">
        <v>46174</v>
      </c>
      <c r="B19" s="4">
        <v>1405.94111756756</v>
      </c>
    </row>
    <row r="20" spans="1:5" x14ac:dyDescent="0.3">
      <c r="A20">
        <v>46204</v>
      </c>
      <c r="B20" s="4">
        <v>1449.8583917341748</v>
      </c>
      <c r="C20">
        <v>1449.8583917341748</v>
      </c>
      <c r="D20" s="3">
        <v>1449.8583917341748</v>
      </c>
      <c r="E20" s="3">
        <v>1449.8583917341748</v>
      </c>
    </row>
    <row r="21" spans="1:5" x14ac:dyDescent="0.3">
      <c r="A21">
        <v>46235</v>
      </c>
      <c r="B21" s="4">
        <v>1483.2830408915179</v>
      </c>
      <c r="C21">
        <f>_xlfn.FORECAST.ETS(A21,$B$2:$B$20,$A$2:$A$20,1,1)</f>
        <v>1478.161037534064</v>
      </c>
      <c r="D21" s="3">
        <f>C21-_xlfn.FORECAST.ETS.CONFINT(A21,$B$2:$B$20,$A$2:$A$20,0.82,1,1)</f>
        <v>1454.3393901047355</v>
      </c>
      <c r="E21" s="3">
        <f>C21+_xlfn.FORECAST.ETS.CONFINT(A21,$B$2:$B$20,$A$2:$A$20,0.82,1,1)</f>
        <v>1501.9826849633926</v>
      </c>
    </row>
    <row r="22" spans="1:5" x14ac:dyDescent="0.3">
      <c r="A22">
        <v>46266</v>
      </c>
      <c r="B22" s="4">
        <v>1516.7076900488601</v>
      </c>
      <c r="C22">
        <f>_xlfn.FORECAST.ETS(A22,$B$2:$B$20,$A$2:$A$20,1,1)</f>
        <v>1513.8565878094305</v>
      </c>
      <c r="D22" s="3">
        <f>C22-_xlfn.FORECAST.ETS.CONFINT(A22,$B$2:$B$20,$A$2:$A$20,0.82,1,1)</f>
        <v>1490.0348331829298</v>
      </c>
      <c r="E22" s="3">
        <f>C22+_xlfn.FORECAST.ETS.CONFINT(A22,$B$2:$B$20,$A$2:$A$20,0.82,1,1)</f>
        <v>1537.6783424359312</v>
      </c>
    </row>
    <row r="23" spans="1:5" x14ac:dyDescent="0.3">
      <c r="A23">
        <v>46296</v>
      </c>
      <c r="B23" s="4">
        <v>1550.1323392062</v>
      </c>
      <c r="C23">
        <f>_xlfn.FORECAST.ETS(A23,$B$2:$B$20,$A$2:$A$20,1,1)</f>
        <v>1549.552138084797</v>
      </c>
      <c r="D23" s="3">
        <f>C23-_xlfn.FORECAST.ETS.CONFINT(A23,$B$2:$B$20,$A$2:$A$20,0.82,1,1)</f>
        <v>1525.7301928867366</v>
      </c>
      <c r="E23" s="3">
        <f>C23+_xlfn.FORECAST.ETS.CONFINT(A23,$B$2:$B$20,$A$2:$A$20,0.82,1,1)</f>
        <v>1573.3740832828573</v>
      </c>
    </row>
    <row r="24" spans="1:5" x14ac:dyDescent="0.3">
      <c r="A24">
        <v>46327</v>
      </c>
      <c r="B24" s="4">
        <v>1583.5569883635501</v>
      </c>
      <c r="C24">
        <f>_xlfn.FORECAST.ETS(A24,$B$2:$B$20,$A$2:$A$20,1,1)</f>
        <v>1585.2476883601635</v>
      </c>
      <c r="D24" s="3">
        <f>C24-_xlfn.FORECAST.ETS.CONFINT(A24,$B$2:$B$20,$A$2:$A$20,0.82,1,1)</f>
        <v>1561.4254453970932</v>
      </c>
      <c r="E24" s="3">
        <f>C24+_xlfn.FORECAST.ETS.CONFINT(A24,$B$2:$B$20,$A$2:$A$20,0.82,1,1)</f>
        <v>1609.0699313232337</v>
      </c>
    </row>
    <row r="25" spans="1:5" x14ac:dyDescent="0.3">
      <c r="A25">
        <v>46357</v>
      </c>
      <c r="B25" s="4">
        <v>1616.98163752089</v>
      </c>
      <c r="C25">
        <f>_xlfn.FORECAST.ETS(A25,$B$2:$B$20,$A$2:$A$20,1,1)</f>
        <v>1620.94323863553</v>
      </c>
      <c r="D25" s="3">
        <f>C25-_xlfn.FORECAST.ETS.CONFINT(A25,$B$2:$B$20,$A$2:$A$20,0.82,1,1)</f>
        <v>1597.1205668973842</v>
      </c>
      <c r="E25" s="3">
        <f>C25+_xlfn.FORECAST.ETS.CONFINT(A25,$B$2:$B$20,$A$2:$A$20,0.82,1,1)</f>
        <v>1644.7659103736758</v>
      </c>
    </row>
    <row r="26" spans="1:5" x14ac:dyDescent="0.3">
      <c r="A26">
        <v>46376</v>
      </c>
      <c r="B26" s="4">
        <v>1650.4062866782299</v>
      </c>
      <c r="C26">
        <f>_xlfn.FORECAST.ETS(A26,$B$2:$B$20,$A$2:$A$20,1,1)</f>
        <v>1642.8211565462384</v>
      </c>
      <c r="D26" s="3">
        <f>C26-_xlfn.FORECAST.ETS.CONFINT(A26,$B$2:$B$20,$A$2:$A$20,0.82,1,1)</f>
        <v>1618.9981271172269</v>
      </c>
      <c r="E26" s="3">
        <f>C26+_xlfn.FORECAST.ETS.CONFINT(A26,$B$2:$B$20,$A$2:$A$20,0.82,1,1)</f>
        <v>1666.6441859752499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1BA1-98D4-4A27-BAE2-2AE8492E05D5}">
  <dimension ref="A1:E32"/>
  <sheetViews>
    <sheetView workbookViewId="0">
      <selection activeCell="Q21" sqref="Q21"/>
    </sheetView>
  </sheetViews>
  <sheetFormatPr defaultRowHeight="14.4" x14ac:dyDescent="0.3"/>
  <cols>
    <col min="2" max="2" width="10" customWidth="1"/>
    <col min="3" max="3" width="18.33203125" customWidth="1"/>
    <col min="4" max="4" width="32.44140625" customWidth="1"/>
    <col min="5" max="5" width="32.5546875" customWidth="1"/>
  </cols>
  <sheetData>
    <row r="1" spans="1:5" x14ac:dyDescent="0.3">
      <c r="A1" t="s">
        <v>0</v>
      </c>
      <c r="B1" t="s">
        <v>2</v>
      </c>
      <c r="C1" t="s">
        <v>7</v>
      </c>
      <c r="D1" t="s">
        <v>8</v>
      </c>
      <c r="E1" t="s">
        <v>9</v>
      </c>
    </row>
    <row r="2" spans="1:5" x14ac:dyDescent="0.3">
      <c r="A2">
        <v>45658</v>
      </c>
      <c r="B2">
        <v>1200</v>
      </c>
    </row>
    <row r="3" spans="1:5" x14ac:dyDescent="0.3">
      <c r="A3">
        <v>45689</v>
      </c>
      <c r="B3">
        <v>1180</v>
      </c>
    </row>
    <row r="4" spans="1:5" x14ac:dyDescent="0.3">
      <c r="A4">
        <v>45717</v>
      </c>
      <c r="B4">
        <v>1250</v>
      </c>
    </row>
    <row r="5" spans="1:5" x14ac:dyDescent="0.3">
      <c r="A5">
        <v>45748</v>
      </c>
      <c r="B5">
        <v>1300</v>
      </c>
    </row>
    <row r="6" spans="1:5" x14ac:dyDescent="0.3">
      <c r="A6">
        <v>45778</v>
      </c>
      <c r="B6">
        <v>1280</v>
      </c>
    </row>
    <row r="7" spans="1:5" x14ac:dyDescent="0.3">
      <c r="A7">
        <v>45809</v>
      </c>
      <c r="B7">
        <v>1350</v>
      </c>
    </row>
    <row r="8" spans="1:5" x14ac:dyDescent="0.3">
      <c r="A8">
        <v>45839</v>
      </c>
      <c r="B8">
        <v>1400</v>
      </c>
    </row>
    <row r="9" spans="1:5" x14ac:dyDescent="0.3">
      <c r="A9">
        <v>45870</v>
      </c>
      <c r="B9">
        <v>1380</v>
      </c>
    </row>
    <row r="10" spans="1:5" x14ac:dyDescent="0.3">
      <c r="A10">
        <v>45901</v>
      </c>
      <c r="B10">
        <v>1450</v>
      </c>
    </row>
    <row r="11" spans="1:5" x14ac:dyDescent="0.3">
      <c r="A11">
        <v>45931</v>
      </c>
      <c r="B11">
        <v>1500</v>
      </c>
    </row>
    <row r="12" spans="1:5" x14ac:dyDescent="0.3">
      <c r="A12">
        <v>45962</v>
      </c>
      <c r="B12">
        <v>1480</v>
      </c>
    </row>
    <row r="13" spans="1:5" x14ac:dyDescent="0.3">
      <c r="A13">
        <v>45992</v>
      </c>
      <c r="B13">
        <v>1580</v>
      </c>
    </row>
    <row r="14" spans="1:5" x14ac:dyDescent="0.3">
      <c r="A14">
        <v>46023</v>
      </c>
      <c r="B14">
        <v>1575.7121759256934</v>
      </c>
    </row>
    <row r="15" spans="1:5" x14ac:dyDescent="0.3">
      <c r="A15">
        <v>46054</v>
      </c>
      <c r="B15">
        <v>1612.3760681797567</v>
      </c>
    </row>
    <row r="16" spans="1:5" x14ac:dyDescent="0.3">
      <c r="A16">
        <v>46082</v>
      </c>
      <c r="B16">
        <v>1636.9398044990039</v>
      </c>
    </row>
    <row r="17" spans="1:5" x14ac:dyDescent="0.3">
      <c r="A17">
        <v>46113</v>
      </c>
      <c r="B17">
        <v>1670.5375958105496</v>
      </c>
    </row>
    <row r="18" spans="1:5" x14ac:dyDescent="0.3">
      <c r="A18">
        <v>46143</v>
      </c>
      <c r="B18">
        <v>1706.2239556935792</v>
      </c>
    </row>
    <row r="19" spans="1:5" x14ac:dyDescent="0.3">
      <c r="A19">
        <v>46174</v>
      </c>
      <c r="B19">
        <v>1734.0993417605619</v>
      </c>
    </row>
    <row r="20" spans="1:5" x14ac:dyDescent="0.3">
      <c r="A20">
        <v>46204</v>
      </c>
      <c r="B20">
        <v>1765.7434184730587</v>
      </c>
    </row>
    <row r="21" spans="1:5" x14ac:dyDescent="0.3">
      <c r="A21">
        <v>46235</v>
      </c>
      <c r="B21">
        <v>1802.2500768758221</v>
      </c>
      <c r="C21">
        <v>1802.2500768758221</v>
      </c>
      <c r="D21" s="3">
        <v>1802.2500768758221</v>
      </c>
      <c r="E21" s="3">
        <v>1802.2500768758221</v>
      </c>
    </row>
    <row r="22" spans="1:5" x14ac:dyDescent="0.3">
      <c r="A22">
        <v>46266</v>
      </c>
      <c r="C22">
        <f>_xlfn.FORECAST.ETS(A22,$B$2:$B$21,$A$2:$A$21,1,1)</f>
        <v>1846.1399689718623</v>
      </c>
      <c r="D22" s="3">
        <f>C22-_xlfn.FORECAST.ETS.CONFINT(A22,$B$2:$B$21,$A$2:$A$21,0.95,1,1)</f>
        <v>1810.1941393099521</v>
      </c>
      <c r="E22" s="3">
        <f>C22+_xlfn.FORECAST.ETS.CONFINT(A22,$B$2:$B$21,$A$2:$A$21,0.95,1,1)</f>
        <v>1882.0857986337726</v>
      </c>
    </row>
    <row r="23" spans="1:5" x14ac:dyDescent="0.3">
      <c r="A23">
        <v>46296</v>
      </c>
      <c r="C23">
        <f>_xlfn.FORECAST.ETS(A23,$B$2:$B$21,$A$2:$A$21,1,1)</f>
        <v>1896.2716156487659</v>
      </c>
      <c r="D23" s="3">
        <f>C23-_xlfn.FORECAST.ETS.CONFINT(A23,$B$2:$B$21,$A$2:$A$21,0.95,1,1)</f>
        <v>1860.0370604003729</v>
      </c>
      <c r="E23" s="3">
        <f>C23+_xlfn.FORECAST.ETS.CONFINT(A23,$B$2:$B$21,$A$2:$A$21,0.95,1,1)</f>
        <v>1932.5061708971589</v>
      </c>
    </row>
    <row r="24" spans="1:5" x14ac:dyDescent="0.3">
      <c r="A24">
        <v>46327</v>
      </c>
      <c r="C24">
        <f>_xlfn.FORECAST.ETS(A24,$B$2:$B$21,$A$2:$A$21,1,1)</f>
        <v>1877.5658999257987</v>
      </c>
      <c r="D24" s="3">
        <f>C24-_xlfn.FORECAST.ETS.CONFINT(A24,$B$2:$B$21,$A$2:$A$21,0.95,1,1)</f>
        <v>1841.0403909738966</v>
      </c>
      <c r="E24" s="3">
        <f>C24+_xlfn.FORECAST.ETS.CONFINT(A24,$B$2:$B$21,$A$2:$A$21,0.95,1,1)</f>
        <v>1914.0914088777008</v>
      </c>
    </row>
    <row r="25" spans="1:5" x14ac:dyDescent="0.3">
      <c r="A25">
        <v>46357</v>
      </c>
      <c r="C25">
        <f>_xlfn.FORECAST.ETS(A25,$B$2:$B$21,$A$2:$A$21,1,1)</f>
        <v>1945.4601598015058</v>
      </c>
      <c r="D25" s="3">
        <f>C25-_xlfn.FORECAST.ETS.CONFINT(A25,$B$2:$B$21,$A$2:$A$21,0.95,1,1)</f>
        <v>1908.6369424064997</v>
      </c>
      <c r="E25" s="3">
        <f>C25+_xlfn.FORECAST.ETS.CONFINT(A25,$B$2:$B$21,$A$2:$A$21,0.95,1,1)</f>
        <v>1982.283377196512</v>
      </c>
    </row>
    <row r="26" spans="1:5" x14ac:dyDescent="0.3">
      <c r="A26">
        <v>46388</v>
      </c>
      <c r="C26">
        <f>_xlfn.FORECAST.ETS(A26,$B$2:$B$21,$A$2:$A$21,1,1)</f>
        <v>1995.5918064784096</v>
      </c>
      <c r="D26" s="3">
        <f>C26-_xlfn.FORECAST.ETS.CONFINT(A26,$B$2:$B$21,$A$2:$A$21,0.95,1,1)</f>
        <v>1958.4732683277189</v>
      </c>
      <c r="E26" s="3">
        <f>C26+_xlfn.FORECAST.ETS.CONFINT(A26,$B$2:$B$21,$A$2:$A$21,0.95,1,1)</f>
        <v>2032.7103446291003</v>
      </c>
    </row>
    <row r="27" spans="1:5" x14ac:dyDescent="0.3">
      <c r="A27">
        <v>46419</v>
      </c>
      <c r="C27">
        <f>_xlfn.FORECAST.ETS(A27,$B$2:$B$21,$A$2:$A$21,1,1)</f>
        <v>1976.8860907554424</v>
      </c>
      <c r="D27" s="3">
        <f>C27-_xlfn.FORECAST.ETS.CONFINT(A27,$B$2:$B$21,$A$2:$A$21,0.95,1,1)</f>
        <v>1939.4700561129848</v>
      </c>
      <c r="E27" s="3">
        <f>C27+_xlfn.FORECAST.ETS.CONFINT(A27,$B$2:$B$21,$A$2:$A$21,0.95,1,1)</f>
        <v>2014.3021253979</v>
      </c>
    </row>
    <row r="28" spans="1:5" x14ac:dyDescent="0.3">
      <c r="A28">
        <v>46447</v>
      </c>
      <c r="C28">
        <f>_xlfn.FORECAST.ETS(A28,$B$2:$B$21,$A$2:$A$21,1,1)</f>
        <v>2044.7803506311493</v>
      </c>
      <c r="D28" s="3">
        <f>C28-_xlfn.FORECAST.ETS.CONFINT(A28,$B$2:$B$21,$A$2:$A$21,0.95,1,1)</f>
        <v>2007.060121940211</v>
      </c>
      <c r="E28" s="3">
        <f>C28+_xlfn.FORECAST.ETS.CONFINT(A28,$B$2:$B$21,$A$2:$A$21,0.95,1,1)</f>
        <v>2082.5005793220876</v>
      </c>
    </row>
    <row r="29" spans="1:5" x14ac:dyDescent="0.3">
      <c r="A29">
        <v>46478</v>
      </c>
      <c r="C29">
        <f>_xlfn.FORECAST.ETS(A29,$B$2:$B$21,$A$2:$A$21,1,1)</f>
        <v>2094.9119973080528</v>
      </c>
      <c r="D29" s="3">
        <f>C29-_xlfn.FORECAST.ETS.CONFINT(A29,$B$2:$B$21,$A$2:$A$21,0.95,1,1)</f>
        <v>2056.8900081882321</v>
      </c>
      <c r="E29" s="3">
        <f>C29+_xlfn.FORECAST.ETS.CONFINT(A29,$B$2:$B$21,$A$2:$A$21,0.95,1,1)</f>
        <v>2132.9339864278736</v>
      </c>
    </row>
    <row r="30" spans="1:5" x14ac:dyDescent="0.3">
      <c r="A30">
        <v>46508</v>
      </c>
      <c r="C30">
        <f>_xlfn.FORECAST.ETS(A30,$B$2:$B$21,$A$2:$A$21,1,1)</f>
        <v>2076.2062815850859</v>
      </c>
      <c r="D30" s="3">
        <f>C30-_xlfn.FORECAST.ETS.CONFINT(A30,$B$2:$B$21,$A$2:$A$21,0.95,1,1)</f>
        <v>2037.8804071375041</v>
      </c>
      <c r="E30" s="3">
        <f>C30+_xlfn.FORECAST.ETS.CONFINT(A30,$B$2:$B$21,$A$2:$A$21,0.95,1,1)</f>
        <v>2114.5321560326674</v>
      </c>
    </row>
    <row r="31" spans="1:5" x14ac:dyDescent="0.3">
      <c r="A31">
        <v>46539</v>
      </c>
      <c r="C31">
        <f>_xlfn.FORECAST.ETS(A31,$B$2:$B$21,$A$2:$A$21,1,1)</f>
        <v>2144.100541460793</v>
      </c>
      <c r="D31" s="3">
        <f>C31-_xlfn.FORECAST.ETS.CONFINT(A31,$B$2:$B$21,$A$2:$A$21,0.95,1,1)</f>
        <v>2105.4641417429407</v>
      </c>
      <c r="E31" s="3">
        <f>C31+_xlfn.FORECAST.ETS.CONFINT(A31,$B$2:$B$21,$A$2:$A$21,0.95,1,1)</f>
        <v>2182.7369411786453</v>
      </c>
    </row>
    <row r="32" spans="1:5" x14ac:dyDescent="0.3">
      <c r="A32">
        <v>46562</v>
      </c>
      <c r="C32">
        <f>_xlfn.FORECAST.ETS(A32,$B$2:$B$21,$A$2:$A$21,1,1)</f>
        <v>2182.5348039130859</v>
      </c>
      <c r="D32" s="3">
        <f>C32-_xlfn.FORECAST.ETS.CONFINT(A32,$B$2:$B$21,$A$2:$A$21,0.95,1,1)</f>
        <v>2143.6620146694499</v>
      </c>
      <c r="E32" s="3">
        <f>C32+_xlfn.FORECAST.ETS.CONFINT(A32,$B$2:$B$21,$A$2:$A$21,0.95,1,1)</f>
        <v>2221.4075931567218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1394-0899-4643-A9F1-04DE8E215B96}">
  <dimension ref="A1:E31"/>
  <sheetViews>
    <sheetView workbookViewId="0">
      <selection activeCell="H2" sqref="H2"/>
    </sheetView>
  </sheetViews>
  <sheetFormatPr defaultRowHeight="14.4" x14ac:dyDescent="0.3"/>
  <cols>
    <col min="2" max="2" width="10" customWidth="1"/>
    <col min="3" max="3" width="18.33203125" customWidth="1"/>
    <col min="4" max="4" width="32.44140625" customWidth="1"/>
    <col min="5" max="5" width="32.5546875" customWidth="1"/>
  </cols>
  <sheetData>
    <row r="1" spans="1:5" x14ac:dyDescent="0.3">
      <c r="A1" t="s">
        <v>0</v>
      </c>
      <c r="B1" t="s">
        <v>3</v>
      </c>
      <c r="C1" t="s">
        <v>10</v>
      </c>
      <c r="D1" t="s">
        <v>11</v>
      </c>
      <c r="E1" t="s">
        <v>12</v>
      </c>
    </row>
    <row r="2" spans="1:5" x14ac:dyDescent="0.3">
      <c r="A2">
        <v>45658</v>
      </c>
      <c r="B2">
        <v>650</v>
      </c>
    </row>
    <row r="3" spans="1:5" x14ac:dyDescent="0.3">
      <c r="A3">
        <v>45689</v>
      </c>
      <c r="B3">
        <v>680</v>
      </c>
    </row>
    <row r="4" spans="1:5" x14ac:dyDescent="0.3">
      <c r="A4">
        <v>45717</v>
      </c>
      <c r="B4">
        <v>700</v>
      </c>
    </row>
    <row r="5" spans="1:5" x14ac:dyDescent="0.3">
      <c r="A5">
        <v>45748</v>
      </c>
      <c r="B5">
        <v>690</v>
      </c>
    </row>
    <row r="6" spans="1:5" x14ac:dyDescent="0.3">
      <c r="A6">
        <v>45778</v>
      </c>
      <c r="B6">
        <v>730</v>
      </c>
    </row>
    <row r="7" spans="1:5" x14ac:dyDescent="0.3">
      <c r="A7">
        <v>45809</v>
      </c>
      <c r="B7">
        <v>760</v>
      </c>
    </row>
    <row r="8" spans="1:5" x14ac:dyDescent="0.3">
      <c r="A8">
        <v>45839</v>
      </c>
      <c r="B8">
        <v>740</v>
      </c>
    </row>
    <row r="9" spans="1:5" x14ac:dyDescent="0.3">
      <c r="A9">
        <v>45870</v>
      </c>
      <c r="B9">
        <v>790</v>
      </c>
    </row>
    <row r="10" spans="1:5" x14ac:dyDescent="0.3">
      <c r="A10">
        <v>45901</v>
      </c>
      <c r="B10">
        <v>820</v>
      </c>
    </row>
    <row r="11" spans="1:5" x14ac:dyDescent="0.3">
      <c r="A11">
        <v>45931</v>
      </c>
      <c r="B11">
        <v>800</v>
      </c>
    </row>
    <row r="12" spans="1:5" x14ac:dyDescent="0.3">
      <c r="A12">
        <v>45962</v>
      </c>
      <c r="B12">
        <v>850</v>
      </c>
    </row>
    <row r="13" spans="1:5" x14ac:dyDescent="0.3">
      <c r="A13">
        <v>45992</v>
      </c>
      <c r="B13">
        <v>900</v>
      </c>
    </row>
    <row r="14" spans="1:5" x14ac:dyDescent="0.3">
      <c r="A14">
        <v>46023</v>
      </c>
      <c r="B14">
        <v>879.7450224943035</v>
      </c>
    </row>
    <row r="15" spans="1:5" x14ac:dyDescent="0.3">
      <c r="A15">
        <v>46054</v>
      </c>
      <c r="B15">
        <v>897.85299870964093</v>
      </c>
    </row>
    <row r="16" spans="1:5" x14ac:dyDescent="0.3">
      <c r="A16">
        <v>46082</v>
      </c>
      <c r="B16">
        <v>915.52767334618829</v>
      </c>
    </row>
    <row r="17" spans="1:5" x14ac:dyDescent="0.3">
      <c r="A17">
        <v>46113</v>
      </c>
      <c r="B17">
        <v>936.12724369320108</v>
      </c>
    </row>
    <row r="18" spans="1:5" x14ac:dyDescent="0.3">
      <c r="A18">
        <v>46143</v>
      </c>
      <c r="B18">
        <v>952.24071533809979</v>
      </c>
    </row>
    <row r="19" spans="1:5" x14ac:dyDescent="0.3">
      <c r="A19">
        <v>46174</v>
      </c>
      <c r="B19">
        <v>970.57388569194109</v>
      </c>
    </row>
    <row r="20" spans="1:5" x14ac:dyDescent="0.3">
      <c r="A20">
        <v>46204</v>
      </c>
      <c r="B20">
        <v>990.22579909127717</v>
      </c>
    </row>
    <row r="21" spans="1:5" x14ac:dyDescent="0.3">
      <c r="A21">
        <v>46235</v>
      </c>
      <c r="B21">
        <v>1004.9631321986842</v>
      </c>
      <c r="C21">
        <v>1004.9631321986842</v>
      </c>
      <c r="D21" s="3">
        <v>1004.9631321986842</v>
      </c>
      <c r="E21" s="3">
        <v>1004.9631321986842</v>
      </c>
    </row>
    <row r="22" spans="1:5" x14ac:dyDescent="0.3">
      <c r="A22">
        <v>46266</v>
      </c>
      <c r="C22">
        <f>_xlfn.FORECAST.ETS(A22,$B$2:$B$21,$A$2:$A$21,1,1)</f>
        <v>1026.9211266626014</v>
      </c>
      <c r="D22" s="3">
        <f>C22-_xlfn.FORECAST.ETS.CONFINT(A22,$B$2:$B$21,$A$2:$A$21,0.9999,1,1)</f>
        <v>970.39457962441293</v>
      </c>
      <c r="E22" s="3">
        <f>C22+_xlfn.FORECAST.ETS.CONFINT(A22,$B$2:$B$21,$A$2:$A$21,0.9999,1,1)</f>
        <v>1083.4476737007899</v>
      </c>
    </row>
    <row r="23" spans="1:5" x14ac:dyDescent="0.3">
      <c r="A23">
        <v>46296</v>
      </c>
      <c r="C23">
        <f>_xlfn.FORECAST.ETS(A23,$B$2:$B$21,$A$2:$A$21,1,1)</f>
        <v>1045.7954332018192</v>
      </c>
      <c r="D23" s="3">
        <f>C23-_xlfn.FORECAST.ETS.CONFINT(A23,$B$2:$B$21,$A$2:$A$21,0.9999,1,1)</f>
        <v>989.2686317947414</v>
      </c>
      <c r="E23" s="3">
        <f>C23+_xlfn.FORECAST.ETS.CONFINT(A23,$B$2:$B$21,$A$2:$A$21,0.9999,1,1)</f>
        <v>1102.3222346088969</v>
      </c>
    </row>
    <row r="24" spans="1:5" x14ac:dyDescent="0.3">
      <c r="A24">
        <v>46327</v>
      </c>
      <c r="C24">
        <f>_xlfn.FORECAST.ETS(A24,$B$2:$B$21,$A$2:$A$21,1,1)</f>
        <v>1064.6697397410371</v>
      </c>
      <c r="D24" s="3">
        <f>C24-_xlfn.FORECAST.ETS.CONFINT(A24,$B$2:$B$21,$A$2:$A$21,0.9999,1,1)</f>
        <v>1008.1424861254268</v>
      </c>
      <c r="E24" s="3">
        <f>C24+_xlfn.FORECAST.ETS.CONFINT(A24,$B$2:$B$21,$A$2:$A$21,0.9999,1,1)</f>
        <v>1121.1969933566475</v>
      </c>
    </row>
    <row r="25" spans="1:5" x14ac:dyDescent="0.3">
      <c r="A25">
        <v>46357</v>
      </c>
      <c r="C25">
        <f>_xlfn.FORECAST.ETS(A25,$B$2:$B$21,$A$2:$A$21,1,1)</f>
        <v>1083.5440462802549</v>
      </c>
      <c r="D25" s="3">
        <f>C25-_xlfn.FORECAST.ETS.CONFINT(A25,$B$2:$B$21,$A$2:$A$21,0.9999,1,1)</f>
        <v>1027.0160860960546</v>
      </c>
      <c r="E25" s="3">
        <f>C25+_xlfn.FORECAST.ETS.CONFINT(A25,$B$2:$B$21,$A$2:$A$21,0.9999,1,1)</f>
        <v>1140.0720064644552</v>
      </c>
    </row>
    <row r="26" spans="1:5" x14ac:dyDescent="0.3">
      <c r="A26">
        <v>46388</v>
      </c>
      <c r="C26">
        <f>_xlfn.FORECAST.ETS(A26,$B$2:$B$21,$A$2:$A$21,1,1)</f>
        <v>1102.4183528194726</v>
      </c>
      <c r="D26" s="3">
        <f>C26-_xlfn.FORECAST.ETS.CONFINT(A26,$B$2:$B$21,$A$2:$A$21,0.9999,1,1)</f>
        <v>1045.8893751920182</v>
      </c>
      <c r="E26" s="3">
        <f>C26+_xlfn.FORECAST.ETS.CONFINT(A26,$B$2:$B$21,$A$2:$A$21,0.9999,1,1)</f>
        <v>1158.947330446927</v>
      </c>
    </row>
    <row r="27" spans="1:5" x14ac:dyDescent="0.3">
      <c r="A27">
        <v>46419</v>
      </c>
      <c r="C27">
        <f>_xlfn.FORECAST.ETS(A27,$B$2:$B$21,$A$2:$A$21,1,1)</f>
        <v>1121.2926593586906</v>
      </c>
      <c r="D27" s="3">
        <f>C27-_xlfn.FORECAST.ETS.CONFINT(A27,$B$2:$B$21,$A$2:$A$21,0.9999,1,1)</f>
        <v>1064.7622969073429</v>
      </c>
      <c r="E27" s="3">
        <f>C27+_xlfn.FORECAST.ETS.CONFINT(A27,$B$2:$B$21,$A$2:$A$21,0.9999,1,1)</f>
        <v>1177.8230218100382</v>
      </c>
    </row>
    <row r="28" spans="1:5" x14ac:dyDescent="0.3">
      <c r="A28">
        <v>46447</v>
      </c>
      <c r="C28">
        <f>_xlfn.FORECAST.ETS(A28,$B$2:$B$21,$A$2:$A$21,1,1)</f>
        <v>1140.1669658979083</v>
      </c>
      <c r="D28" s="3">
        <f>C28-_xlfn.FORECAST.ETS.CONFINT(A28,$B$2:$B$21,$A$2:$A$21,0.9999,1,1)</f>
        <v>1083.6347947480751</v>
      </c>
      <c r="E28" s="3">
        <f>C28+_xlfn.FORECAST.ETS.CONFINT(A28,$B$2:$B$21,$A$2:$A$21,0.9999,1,1)</f>
        <v>1196.6991370477415</v>
      </c>
    </row>
    <row r="29" spans="1:5" x14ac:dyDescent="0.3">
      <c r="A29">
        <v>46478</v>
      </c>
      <c r="C29">
        <f>_xlfn.FORECAST.ETS(A29,$B$2:$B$21,$A$2:$A$21,1,1)</f>
        <v>1159.0412724371263</v>
      </c>
      <c r="D29" s="3">
        <f>C29-_xlfn.FORECAST.ETS.CONFINT(A29,$B$2:$B$21,$A$2:$A$21,0.9999,1,1)</f>
        <v>1102.5068122362352</v>
      </c>
      <c r="E29" s="3">
        <f>C29+_xlfn.FORECAST.ETS.CONFINT(A29,$B$2:$B$21,$A$2:$A$21,0.9999,1,1)</f>
        <v>1215.5757326380174</v>
      </c>
    </row>
    <row r="30" spans="1:5" x14ac:dyDescent="0.3">
      <c r="A30">
        <v>46508</v>
      </c>
      <c r="C30">
        <f>_xlfn.FORECAST.ETS(A30,$B$2:$B$21,$A$2:$A$21,1,1)</f>
        <v>1177.915578976344</v>
      </c>
      <c r="D30" s="3">
        <f>C30-_xlfn.FORECAST.ETS.CONFINT(A30,$B$2:$B$21,$A$2:$A$21,0.9999,1,1)</f>
        <v>1121.3782929143288</v>
      </c>
      <c r="E30" s="3">
        <f>C30+_xlfn.FORECAST.ETS.CONFINT(A30,$B$2:$B$21,$A$2:$A$21,0.9999,1,1)</f>
        <v>1234.4528650383593</v>
      </c>
    </row>
    <row r="31" spans="1:5" x14ac:dyDescent="0.3">
      <c r="A31">
        <v>46531</v>
      </c>
      <c r="C31">
        <f>_xlfn.FORECAST.ETS(A31,$B$2:$B$21,$A$2:$A$21,1,1)</f>
        <v>1191.9190967312475</v>
      </c>
      <c r="D31" s="3">
        <f>C31-_xlfn.FORECAST.ETS.CONFINT(A31,$B$2:$B$21,$A$2:$A$21,0.9999,1,1)</f>
        <v>1135.3792738955083</v>
      </c>
      <c r="E31" s="3">
        <f>C31+_xlfn.FORECAST.ETS.CONFINT(A31,$B$2:$B$21,$A$2:$A$21,0.9999,1,1)</f>
        <v>1248.4589195669867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brand_A</vt:lpstr>
      <vt:lpstr>Brand_B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Arpan Kundu</cp:lastModifiedBy>
  <dcterms:created xsi:type="dcterms:W3CDTF">2026-10-11T12:48:43Z</dcterms:created>
  <dcterms:modified xsi:type="dcterms:W3CDTF">2026-10-11T14:08:29Z</dcterms:modified>
</cp:coreProperties>
</file>